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8d5981c95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raining v2" sheetId="1" r:id="Ra8e2df638605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3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2" fillId="3" borderId="2" xfId="0" applyNumberFormat="1" applyFont="1" applyFill="1" applyBorder="1"/>
    <x:xf numFmtId="20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a46bd612d4890" /><Relationship Type="http://schemas.openxmlformats.org/officeDocument/2006/relationships/theme" Target="/xl/theme/theme1.xml" Id="R9a55a5c50cae4a6b" /><Relationship Type="http://schemas.openxmlformats.org/officeDocument/2006/relationships/sharedStrings" Target="/xl/sharedStrings.xml" Id="R9bd395300e4f4e34" /><Relationship Type="http://schemas.openxmlformats.org/officeDocument/2006/relationships/worksheet" Target="/xl/worksheets/sheet1.xml" Id="Ra8e2df63860541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bc0f537ab447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Second Try leads Chat and RAG after retraining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Chat token-F1</c:v>
          </c:tx>
          <c:cat>
            <c:strRef>
              <c:f>'Retraining v2'!$J$7:$J$12</c:f>
              <c:strCache>
                <c:ptCount val="0"/>
              </c:strCache>
            </c:strRef>
          </c:cat>
          <c:val>
            <c:numRef>
              <c:f>'Retraining v2'!$K$7:$K$12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RAG token-F1</c:v>
          </c:tx>
          <c:cat>
            <c:strRef>
              <c:f>'Retraining v2'!$J$7:$J$12</c:f>
              <c:strCache>
                <c:ptCount val="0"/>
              </c:strCache>
            </c:strRef>
          </c:cat>
          <c:val>
            <c:numRef>
              <c:f>'Retraining v2'!$L$7:$L$12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RAG EM</c:v>
          </c:tx>
          <c:cat>
            <c:strRef>
              <c:f>'Retraining v2'!$J$7:$J$12</c:f>
              <c:strCache>
                <c:ptCount val="0"/>
              </c:strCache>
            </c:strRef>
          </c:cat>
          <c:val>
            <c:numRef>
              <c:f>'Retraining v2'!$M$7:$M$12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bc0f537ab447b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trainingV2Table" displayName="RetrainingV2Table" ref="A6:H12" headerRowCount="1" totalsRowCount="0" totalsRowShown="0">
  <x:tableColumns count="8">
    <x:tableColumn id="1" name="experiment_id"/>
    <x:tableColumn id="2" name="display_name"/>
    <x:tableColumn id="3" name="training_change"/>
    <x:tableColumn id="4" name="chat_token_f1"/>
    <x:tableColumn id="5" name="rag_token_f1"/>
    <x:tableColumn id="6" name="rag_exact_match"/>
    <x:tableColumn id="7" name="selection"/>
    <x:tableColumn id="8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3ebc1fdd2a4ce6" /><Relationship Type="http://schemas.openxmlformats.org/officeDocument/2006/relationships/table" Target="/xl/tables/table1.xml" Id="Ra886a90c8e534d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  <x:col min="3" max="3" width="38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40" hidden="0" customWidth="1"/>
  </x:cols>
  <x:sheetData>
    <x:row r="1" ht="32" customHeight="1">
      <x:c r="A1" s="3" t="str">
        <x:v>PathFinderShip — Retraining Evaluation v2</x:v>
      </x:c>
      <x:c r="B1" s="3"/>
      <x:c r="C1" s="3"/>
      <x:c r="D1" s="3"/>
      <x:c r="E1" s="3"/>
      <x:c r="F1" s="3"/>
      <x:c r="G1" s="3"/>
      <x:c r="H1" s="3"/>
    </x:row>
    <x:row r="3">
      <x:c r="A3" s="6" t="str">
        <x:v>Selected model</x:v>
      </x:c>
      <x:c r="B3" s="7" t="str">
        <x:v>My Class — Second Try</x:v>
      </x:c>
      <x:c r="C3" s="7"/>
      <x:c r="D3" s="7" t="str">
        <x:v>Best Chat F1</x:v>
      </x:c>
      <x:c r="E3" s="9" t="n">
        <x:f>MAX(D7:D12)</x:f>
        <x:v>0.5216</x:v>
      </x:c>
      <x:c r="F3" s="9" t="str">
        <x:v>Best RAG F1</x:v>
      </x:c>
      <x:c r="G3" s="10" t="n">
        <x:f>MAX(E7:E12)</x:f>
        <x:v>0.8894</x:v>
      </x:c>
    </x:row>
    <x:row r="5">
      <x:c r="A5" s="12" t="str">
        <x:v>‘1.2x Chat’ and ‘2x RAG’ are task-loss weights, not model-size or dataset multipliers.</x:v>
      </x:c>
      <x:c r="B5" s="12"/>
      <x:c r="C5" s="12"/>
      <x:c r="D5" s="12"/>
      <x:c r="E5" s="12"/>
      <x:c r="F5" s="12"/>
      <x:c r="G5" s="12"/>
      <x:c r="H5" s="12"/>
    </x:row>
    <x:row r="6" ht="15" hidden="0" customHeight="1">
      <x:c r="A6" s="15" t="str">
        <x:v>experiment_id</x:v>
      </x:c>
      <x:c r="B6" s="15" t="str">
        <x:v>display_name</x:v>
      </x:c>
      <x:c r="C6" s="15" t="str">
        <x:v>training_change</x:v>
      </x:c>
      <x:c r="D6" s="15" t="str">
        <x:v>chat_token_f1</x:v>
      </x:c>
      <x:c r="E6" s="15" t="str">
        <x:v>rag_token_f1</x:v>
      </x:c>
      <x:c r="F6" s="15" t="str">
        <x:v>rag_exact_match</x:v>
      </x:c>
      <x:c r="G6" s="15" t="str">
        <x:v>selection</x:v>
      </x:c>
      <x:c r="H6" s="15" t="str">
        <x:v>interpretation</x:v>
      </x:c>
      <x:c r="J6" t="str">
        <x:v>Model</x:v>
      </x:c>
      <x:c r="K6" t="str">
        <x:v>Chat token-F1</x:v>
      </x:c>
      <x:c r="L6" t="str">
        <x:v>RAG token-F1</x:v>
      </x:c>
      <x:c r="M6" t="str">
        <x:v>RAG EM</x:v>
      </x:c>
    </x:row>
    <x:row r="7" ht="15" hidden="0" customHeight="1">
      <x:c r="A7" s="28" t="str">
        <x:v>flan_large_lora_qv_failed</x:v>
      </x:c>
      <x:c r="B7" s="29" t="str">
        <x:v>LoRA q/v — rejected (kötü)</x:v>
      </x:c>
      <x:c r="C7" s="29" t="str">
        <x:v>q/v-only LoRA; r=16; alpha=32</x:v>
      </x:c>
      <x:c r="D7" s="30" t="n">
        <x:v>0.3942</x:v>
      </x:c>
      <x:c r="E7" s="30" t="n">
        <x:v>0.8127</x:v>
      </x:c>
      <x:c r="F7" s="30" t="n">
        <x:v>0.7063</x:v>
      </x:c>
      <x:c r="G7" s="29" t="str">
        <x:v>rejected</x:v>
      </x:c>
      <x:c r="H7" s="31" t="str">
        <x:v>RAG stronger than expected; Chat remains weak</x:v>
      </x:c>
      <x:c r="J7" t="str">
        <x:f>B7</x:f>
        <x:v>LoRA q/v — rejected (kötü)</x:v>
      </x:c>
      <x:c r="K7" t="n">
        <x:f>D7</x:f>
        <x:v>0.3942</x:v>
      </x:c>
      <x:c r="L7" t="n">
        <x:f>E7</x:f>
        <x:v>0.8127</x:v>
      </x:c>
      <x:c r="M7" t="n">
        <x:f>F7</x:f>
        <x:v>0.7063</x:v>
      </x:c>
    </x:row>
    <x:row r="8" ht="26.399999618530273" hidden="0" customHeight="1">
      <x:c r="A8" s="32" t="str">
        <x:v>flan_large_lora_rag2_step1320</x:v>
      </x:c>
      <x:c r="B8" s="33" t="str">
        <x:v>RAG-loss-weight 2.0 — step 1320</x:v>
      </x:c>
      <x:c r="C8" s="33" t="str">
        <x:v>RAG loss weight=2.0; Chat=1.0</x:v>
      </x:c>
      <x:c r="D8" s="34" t="n">
        <x:v>0.3778</x:v>
      </x:c>
      <x:c r="E8" s="34" t="n">
        <x:v>0.5864</x:v>
      </x:c>
      <x:c r="F8" s="34" t="n">
        <x:v>0.4625</x:v>
      </x:c>
      <x:c r="G8" s="33" t="str">
        <x:v>milestone</x:v>
      </x:c>
      <x:c r="H8" s="35" t="str">
        <x:v>Task weighting did not improve the shared evaluation</x:v>
      </x:c>
      <x:c r="J8" t="str">
        <x:f>B8</x:f>
        <x:v>RAG-loss-weight 2.0 — step 1320</x:v>
      </x:c>
      <x:c r="K8" t="n">
        <x:f>D8</x:f>
        <x:v>0.3778</x:v>
      </x:c>
      <x:c r="L8" t="n">
        <x:f>E8</x:f>
        <x:v>0.5864</x:v>
      </x:c>
      <x:c r="M8" t="n">
        <x:f>F8</x:f>
        <x:v>0.4625</x:v>
      </x:c>
    </x:row>
    <x:row r="9" ht="15" hidden="0" customHeight="1">
      <x:c r="A9" s="32" t="str">
        <x:v>flan_large_lora_chat12_step1485</x:v>
      </x:c>
      <x:c r="B9" s="33" t="str">
        <x:v>Chat-loss-weight 1.2 — step 1485</x:v>
      </x:c>
      <x:c r="C9" s="33" t="str">
        <x:v>Chat loss weight=1.2; RAG=1.0</x:v>
      </x:c>
      <x:c r="D9" s="34" t="n">
        <x:v>0.4695</x:v>
      </x:c>
      <x:c r="E9" s="34" t="n">
        <x:v>0.6719</x:v>
      </x:c>
      <x:c r="F9" s="34" t="n">
        <x:v>0.5563</x:v>
      </x:c>
      <x:c r="G9" s="33" t="str">
        <x:v>checkpoint</x:v>
      </x:c>
      <x:c r="H9" s="35" t="str">
        <x:v>Chat improved and RAG recovered</x:v>
      </x:c>
      <x:c r="J9" t="str">
        <x:f>B9</x:f>
        <x:v>Chat-loss-weight 1.2 — step 1485</x:v>
      </x:c>
      <x:c r="K9" t="n">
        <x:f>D9</x:f>
        <x:v>0.4695</x:v>
      </x:c>
      <x:c r="L9" t="n">
        <x:f>E9</x:f>
        <x:v>0.6719</x:v>
      </x:c>
      <x:c r="M9" t="n">
        <x:f>F9</x:f>
        <x:v>0.5563</x:v>
      </x:c>
    </x:row>
    <x:row r="10" ht="15" hidden="0" customHeight="1">
      <x:c r="A10" s="32" t="str">
        <x:v>flan_large_lora_chat12_step1980</x:v>
      </x:c>
      <x:c r="B10" s="33" t="str">
        <x:v>Chat-loss-weight 1.2 — step 1980</x:v>
      </x:c>
      <x:c r="C10" s="33" t="str">
        <x:v>Chat loss weight=1.2; RAG=1.0</x:v>
      </x:c>
      <x:c r="D10" s="34" t="n">
        <x:v>0.4684</x:v>
      </x:c>
      <x:c r="E10" s="34" t="n">
        <x:v>0.6587</x:v>
      </x:c>
      <x:c r="F10" s="34" t="n">
        <x:v>0.5438</x:v>
      </x:c>
      <x:c r="G10" s="33" t="str">
        <x:v>milestone</x:v>
      </x:c>
      <x:c r="H10" s="35" t="str">
        <x:v>Additional steps produced a small regression</x:v>
      </x:c>
      <x:c r="J10" t="str">
        <x:f>B10</x:f>
        <x:v>Chat-loss-weight 1.2 — step 1980</x:v>
      </x:c>
      <x:c r="K10" t="n">
        <x:f>D10</x:f>
        <x:v>0.4684</x:v>
      </x:c>
      <x:c r="L10" t="n">
        <x:f>E10</x:f>
        <x:v>0.6587</x:v>
      </x:c>
      <x:c r="M10" t="n">
        <x:f>F10</x:f>
        <x:v>0.5438</x:v>
      </x:c>
    </x:row>
    <x:row r="11" ht="15" hidden="0" customHeight="1">
      <x:c r="A11" s="32" t="str">
        <x:v>flan_large_lora_first_try</x:v>
      </x:c>
      <x:c r="B11" s="33" t="str">
        <x:v>My Class — First Try</x:v>
      </x:c>
      <x:c r="C11" s="33" t="str">
        <x:v>First custom trainer/loss iteration</x:v>
      </x:c>
      <x:c r="D11" s="34" t="n">
        <x:v>0.4937</x:v>
      </x:c>
      <x:c r="E11" s="34" t="n">
        <x:v>0.8421</x:v>
      </x:c>
      <x:c r="F11" s="34" t="n">
        <x:v>0.7438</x:v>
      </x:c>
      <x:c r="G11" s="33" t="str">
        <x:v>runner_up</x:v>
      </x:c>
      <x:c r="H11" s="35" t="str">
        <x:v>Strong on both tasks</x:v>
      </x:c>
      <x:c r="J11" t="str">
        <x:f>B11</x:f>
        <x:v>My Class — First Try</x:v>
      </x:c>
      <x:c r="K11" t="n">
        <x:f>D11</x:f>
        <x:v>0.4937</x:v>
      </x:c>
      <x:c r="L11" t="n">
        <x:f>E11</x:f>
        <x:v>0.8421</x:v>
      </x:c>
      <x:c r="M11" t="n">
        <x:f>F11</x:f>
        <x:v>0.7438</x:v>
      </x:c>
    </x:row>
    <x:row r="12" ht="15" hidden="0" customHeight="1">
      <x:c r="A12" s="36" t="str">
        <x:v>flan_large_lora_second_try</x:v>
      </x:c>
      <x:c r="B12" s="37" t="str">
        <x:v>My Class — Second Try</x:v>
      </x:c>
      <x:c r="C12" s="37" t="str">
        <x:v>Chat weight=1.7; task smoothing; partial R-Drop</x:v>
      </x:c>
      <x:c r="D12" s="38" t="n">
        <x:v>0.5216</x:v>
      </x:c>
      <x:c r="E12" s="38" t="n">
        <x:v>0.8894</x:v>
      </x:c>
      <x:c r="F12" s="38" t="n">
        <x:v>0.7938</x:v>
      </x:c>
      <x:c r="G12" s="37" t="str">
        <x:v>selected_final</x:v>
      </x:c>
      <x:c r="H12" s="39" t="str">
        <x:v>Best result on every reported metric</x:v>
      </x:c>
      <x:c r="J12" t="str">
        <x:f>B12</x:f>
        <x:v>My Class — Second Try</x:v>
      </x:c>
      <x:c r="K12" t="n">
        <x:f>D12</x:f>
        <x:v>0.5216</x:v>
      </x:c>
      <x:c r="L12" t="n">
        <x:f>E12</x:f>
        <x:v>0.8894</x:v>
      </x:c>
      <x:c r="M12" t="n">
        <x:f>F12</x:f>
        <x:v>0.7938</x:v>
      </x:c>
    </x:row>
  </x:sheetData>
  <x:mergeCells>
    <x:mergeCell ref="A1:H1"/>
    <x:mergeCell ref="A5:H5"/>
  </x:mergeCells>
  <x:pageMargins left="0.7" right="0.7" top="0.75" bottom="0.75" header="0.3" footer="0.3"/>
  <x:drawing xmlns:r="http://schemas.openxmlformats.org/officeDocument/2006/relationships" r:id="R9c3ebc1fdd2a4ce6"/>
  <x:tableParts count="1">
    <x:tablePart xmlns:r="http://schemas.openxmlformats.org/officeDocument/2006/relationships" r:id="Ra886a90c8e534d6a"/>
  </x:tableParts>
</x:worksheet>
</file>